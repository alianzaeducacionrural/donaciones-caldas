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GAITAN494\Desktop\"/>
    </mc:Choice>
  </mc:AlternateContent>
  <bookViews>
    <workbookView xWindow="0" yWindow="0" windowWidth="19200" windowHeight="6350"/>
  </bookViews>
  <sheets>
    <sheet name="Inventario" sheetId="1" r:id="rId1"/>
    <sheet name="Entradas" sheetId="2" r:id="rId2"/>
    <sheet name="Salidas" sheetId="3" r:id="rId3"/>
    <sheet name="Terceros" sheetId="4" r:id="rId4"/>
  </sheets>
  <calcPr calcId="162913"/>
</workbook>
</file>

<file path=xl/calcChain.xml><?xml version="1.0" encoding="utf-8"?>
<calcChain xmlns="http://schemas.openxmlformats.org/spreadsheetml/2006/main">
  <c r="F33" i="1" l="1"/>
  <c r="E33" i="1"/>
  <c r="D33" i="1"/>
  <c r="D29" i="1"/>
  <c r="F29" i="1" s="1"/>
  <c r="E29" i="1"/>
  <c r="D30" i="1"/>
  <c r="F30" i="1" s="1"/>
  <c r="E30" i="1"/>
  <c r="D31" i="1"/>
  <c r="F31" i="1" s="1"/>
  <c r="E31" i="1"/>
  <c r="D32" i="1"/>
  <c r="F32" i="1" s="1"/>
  <c r="E32" i="1"/>
  <c r="D28" i="1"/>
  <c r="F28" i="1" s="1"/>
  <c r="E28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E18" i="1"/>
  <c r="E19" i="1"/>
  <c r="D18" i="1"/>
  <c r="D19" i="1"/>
  <c r="E13" i="1"/>
  <c r="E14" i="1"/>
  <c r="E15" i="1"/>
  <c r="E16" i="1"/>
  <c r="E17" i="1"/>
  <c r="D13" i="1"/>
  <c r="D14" i="1"/>
  <c r="D15" i="1"/>
  <c r="D16" i="1"/>
  <c r="D17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F26" i="1" l="1"/>
  <c r="F20" i="1"/>
  <c r="F24" i="1"/>
  <c r="F23" i="1"/>
  <c r="F22" i="1"/>
  <c r="F21" i="1"/>
  <c r="F27" i="1"/>
  <c r="F25" i="1"/>
  <c r="F18" i="1"/>
  <c r="F19" i="1"/>
  <c r="F17" i="1"/>
  <c r="F14" i="1"/>
  <c r="F16" i="1"/>
  <c r="F13" i="1"/>
  <c r="F15" i="1"/>
  <c r="F7" i="1"/>
  <c r="F5" i="1"/>
  <c r="F12" i="1"/>
  <c r="F9" i="1"/>
  <c r="F10" i="1"/>
  <c r="F6" i="1"/>
  <c r="F11" i="1"/>
  <c r="F8" i="1"/>
</calcChain>
</file>

<file path=xl/sharedStrings.xml><?xml version="1.0" encoding="utf-8"?>
<sst xmlns="http://schemas.openxmlformats.org/spreadsheetml/2006/main" count="266" uniqueCount="119">
  <si>
    <t>CONTROL DE INVENTARIO DE DONACIONES</t>
  </si>
  <si>
    <t>Resumen automático de disponibilidad, entradas y salidas por referencia</t>
  </si>
  <si>
    <t>Código ID</t>
  </si>
  <si>
    <t>Descripción / Referencia</t>
  </si>
  <si>
    <t>Categoría</t>
  </si>
  <si>
    <t>Total Entradas</t>
  </si>
  <si>
    <t>Total Salidas</t>
  </si>
  <si>
    <t>Stock Disponible</t>
  </si>
  <si>
    <t>ART-001</t>
  </si>
  <si>
    <t>ART-002</t>
  </si>
  <si>
    <t>ART-003</t>
  </si>
  <si>
    <t>ART-004</t>
  </si>
  <si>
    <t>ART-005</t>
  </si>
  <si>
    <t>ART-006</t>
  </si>
  <si>
    <t>ART-007</t>
  </si>
  <si>
    <t>ART-008</t>
  </si>
  <si>
    <t>TOTALES</t>
  </si>
  <si>
    <t>REGISTRO DE ENTRADAS DE DONACIONES</t>
  </si>
  <si>
    <t>Fecha</t>
  </si>
  <si>
    <t>N° Recibo / Folio</t>
  </si>
  <si>
    <t>Donante / Origen</t>
  </si>
  <si>
    <t>Cantidad Recibida</t>
  </si>
  <si>
    <t>Observaciones</t>
  </si>
  <si>
    <t>2026-09-01</t>
  </si>
  <si>
    <t>REC-001</t>
  </si>
  <si>
    <t>2026-09-02</t>
  </si>
  <si>
    <t>REC-002</t>
  </si>
  <si>
    <t>2026-09-03</t>
  </si>
  <si>
    <t>REC-003</t>
  </si>
  <si>
    <t>2026-09-05</t>
  </si>
  <si>
    <t>REC-004</t>
  </si>
  <si>
    <t>2026-09-06</t>
  </si>
  <si>
    <t>REC-005</t>
  </si>
  <si>
    <t>2026-09-08</t>
  </si>
  <si>
    <t>REC-006</t>
  </si>
  <si>
    <t>2026-09-10</t>
  </si>
  <si>
    <t>REC-007</t>
  </si>
  <si>
    <t>REGISTRO DE SALIDAS Y ENTREGAS</t>
  </si>
  <si>
    <t>N° Acta Entrega</t>
  </si>
  <si>
    <t>Beneficiario / Destino</t>
  </si>
  <si>
    <t>Cantidad Entregada</t>
  </si>
  <si>
    <t>Responsable Entrega</t>
  </si>
  <si>
    <t>ENT-001</t>
  </si>
  <si>
    <t>2026-09-04</t>
  </si>
  <si>
    <t>ENT-002</t>
  </si>
  <si>
    <t>ENT-003</t>
  </si>
  <si>
    <t>2026-09-07</t>
  </si>
  <si>
    <t>ENT-004</t>
  </si>
  <si>
    <t>2026-09-09</t>
  </si>
  <si>
    <t>ENT-005</t>
  </si>
  <si>
    <t>2026-09-11</t>
  </si>
  <si>
    <t>ENT-006</t>
  </si>
  <si>
    <t>DIRECTORIO DE DONANTES Y BENEFICIARIOS</t>
  </si>
  <si>
    <t>Tipo</t>
  </si>
  <si>
    <t>Nombre / Organización</t>
  </si>
  <si>
    <t>Documento / NIT</t>
  </si>
  <si>
    <t>Teléfono de Contacto</t>
  </si>
  <si>
    <t>Dirección / Ubicación</t>
  </si>
  <si>
    <t>COBIJAS</t>
  </si>
  <si>
    <t>MARCELA BOTERO/MIGUEL TRUJILLO</t>
  </si>
  <si>
    <t>MANTAS</t>
  </si>
  <si>
    <t>ALMOHADAS/COJINES</t>
  </si>
  <si>
    <t>SLEEPING</t>
  </si>
  <si>
    <t>CARPA</t>
  </si>
  <si>
    <t>DONANTE</t>
  </si>
  <si>
    <t>COLCHONES/COLCHONETAS</t>
  </si>
  <si>
    <t>TOALLAS</t>
  </si>
  <si>
    <t>HOGAR</t>
  </si>
  <si>
    <t>Chinchiná</t>
  </si>
  <si>
    <t>Anserma</t>
  </si>
  <si>
    <t>Riosucio</t>
  </si>
  <si>
    <t>CAROLINA BERNAL</t>
  </si>
  <si>
    <t>MANUELA MEJÍA/SERGIO FRANCO</t>
  </si>
  <si>
    <t>BENEFICIARIO</t>
  </si>
  <si>
    <t xml:space="preserve">GERARDO ANTONIO ALZATE </t>
  </si>
  <si>
    <t>VEREDA LOS CUERVOS/ FINCA ALTO BONITO</t>
  </si>
  <si>
    <t>ART-009</t>
  </si>
  <si>
    <t>ART-010</t>
  </si>
  <si>
    <t>ART-011</t>
  </si>
  <si>
    <t>ART-012</t>
  </si>
  <si>
    <t>ART-013</t>
  </si>
  <si>
    <t>ROPA</t>
  </si>
  <si>
    <t>PANTALONES MUJER</t>
  </si>
  <si>
    <t>BLUSAS MUJER</t>
  </si>
  <si>
    <t>ROPA DEPORTIVA MUJER</t>
  </si>
  <si>
    <t>VESTIDOS MUJER</t>
  </si>
  <si>
    <t>PIJAMA MUJER</t>
  </si>
  <si>
    <t>CAMISA HOMBRE</t>
  </si>
  <si>
    <t>ART-014</t>
  </si>
  <si>
    <t>ART-015</t>
  </si>
  <si>
    <t>GORRAS</t>
  </si>
  <si>
    <t>PONCHOS</t>
  </si>
  <si>
    <t>ART-016</t>
  </si>
  <si>
    <t>ART-017</t>
  </si>
  <si>
    <t>ART-018</t>
  </si>
  <si>
    <t>ART-019</t>
  </si>
  <si>
    <t>ROLLOS PAPEL HIGIENICO</t>
  </si>
  <si>
    <t>PAQUETES TOALLA HIGIENICAS</t>
  </si>
  <si>
    <t>CREMA DENTAL</t>
  </si>
  <si>
    <t>CEPILLOS DE DIENTES</t>
  </si>
  <si>
    <t>ART-020</t>
  </si>
  <si>
    <t>ART-021</t>
  </si>
  <si>
    <t>ART-022</t>
  </si>
  <si>
    <t>ART-023</t>
  </si>
  <si>
    <t>MAQUINAS DE AFEITAR</t>
  </si>
  <si>
    <t>JABÓN DE BAÑO</t>
  </si>
  <si>
    <t>AGUA POR PACA</t>
  </si>
  <si>
    <t>AGUA POR UNIDAD</t>
  </si>
  <si>
    <t>AGUA BOTELLON</t>
  </si>
  <si>
    <t>ART-024</t>
  </si>
  <si>
    <t>ALIMENTOS</t>
  </si>
  <si>
    <t>ART-025</t>
  </si>
  <si>
    <t>ART-026</t>
  </si>
  <si>
    <t>ART-027</t>
  </si>
  <si>
    <t>ART-028</t>
  </si>
  <si>
    <t xml:space="preserve">GUANTES </t>
  </si>
  <si>
    <t>PILAS POR PAQUETE</t>
  </si>
  <si>
    <t>LINTERNAS</t>
  </si>
  <si>
    <t>GAFAS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</si>
</sst>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1"/>
      <color rgb="FFE2E8F0"/>
      <name val="Segoe UI"/>
    </font>
    <font>
      <b/>
      <sz val="11"/>
      <color rgb="FFFFFFFF"/>
      <name val="Segoe UI"/>
    </font>
    <font>
      <sz val="10"/>
      <color rgb="FF0F172A"/>
      <name val="Segoe UI"/>
    </font>
    <font>
      <b/>
      <sz val="10"/>
      <color rgb="FF0F172A"/>
      <name val="Segoe UI"/>
    </font>
    <font>
      <b/>
      <sz val="11"/>
      <color rgb="FF1E293B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  <fill>
      <patternFill patternType="solid">
        <fgColor rgb="FFF8FAFC"/>
        <bgColor rgb="FFF8FAFC"/>
      </patternFill>
    </fill>
    <fill>
      <patternFill patternType="solid">
        <fgColor rgb="FF15803D"/>
        <bgColor rgb="FF15803D"/>
      </patternFill>
    </fill>
    <fill>
      <patternFill patternType="solid">
        <fgColor rgb="FFB91C1C"/>
        <bgColor rgb="FFB91C1C"/>
      </patternFill>
    </fill>
    <fill>
      <patternFill patternType="solid">
        <fgColor rgb="FF4338CA"/>
        <bgColor rgb="FF4338CA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1E293B"/>
      </top>
      <bottom style="double">
        <color rgb="FF1E293B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3" fontId="6" fillId="0" borderId="2" xfId="0" applyNumberFormat="1" applyFont="1" applyBorder="1" applyAlignment="1">
      <alignment horizontal="right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3" xfId="0" applyFont="1" applyFill="1" applyBorder="1"/>
    <xf numFmtId="0" fontId="4" fillId="0" borderId="0" xfId="0" applyFont="1" applyBorder="1"/>
    <xf numFmtId="3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C5" sqref="C5"/>
    </sheetView>
  </sheetViews>
  <sheetFormatPr baseColWidth="10" defaultColWidth="8.7265625" defaultRowHeight="14.5" x14ac:dyDescent="0.35"/>
  <cols>
    <col min="1" max="1" width="15" customWidth="1"/>
    <col min="2" max="2" width="28" customWidth="1"/>
    <col min="3" max="3" width="19" customWidth="1"/>
    <col min="4" max="4" width="43" customWidth="1"/>
    <col min="5" max="5" width="41" customWidth="1"/>
    <col min="6" max="6" width="20" customWidth="1"/>
  </cols>
  <sheetData>
    <row r="1" spans="1:6" ht="35" customHeight="1" x14ac:dyDescent="0.35">
      <c r="A1" s="18" t="s">
        <v>0</v>
      </c>
      <c r="B1" s="17"/>
      <c r="C1" s="17"/>
      <c r="D1" s="17"/>
      <c r="E1" s="17"/>
      <c r="F1" s="17"/>
    </row>
    <row r="2" spans="1:6" ht="20" customHeight="1" x14ac:dyDescent="0.35">
      <c r="A2" s="16" t="s">
        <v>1</v>
      </c>
      <c r="B2" s="17"/>
      <c r="C2" s="17"/>
      <c r="D2" s="17"/>
      <c r="E2" s="17"/>
      <c r="F2" s="17"/>
    </row>
    <row r="4" spans="1:6" ht="26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6" x14ac:dyDescent="0.45">
      <c r="A5" s="2" t="s">
        <v>8</v>
      </c>
      <c r="B5" s="3" t="s">
        <v>58</v>
      </c>
      <c r="C5" s="3" t="s">
        <v>67</v>
      </c>
      <c r="D5" s="4">
        <f>SUMIF(Entradas!C:C, A5, Entradas!E:E)</f>
        <v>11</v>
      </c>
      <c r="E5" s="4">
        <f>SUMIF(Salidas!C:C, A5, Salidas!E:E)</f>
        <v>11</v>
      </c>
      <c r="F5" s="5">
        <f t="shared" ref="F5:F19" si="0">D5-E5</f>
        <v>0</v>
      </c>
    </row>
    <row r="6" spans="1:6" ht="16" x14ac:dyDescent="0.45">
      <c r="A6" s="6" t="s">
        <v>9</v>
      </c>
      <c r="B6" s="7" t="s">
        <v>60</v>
      </c>
      <c r="C6" s="3" t="s">
        <v>67</v>
      </c>
      <c r="D6" s="8">
        <f>SUMIF(Entradas!C:C, A6, Entradas!E:E)</f>
        <v>7</v>
      </c>
      <c r="E6" s="8">
        <f>SUMIF(Salidas!C:C, A6, Salidas!E:E)</f>
        <v>7</v>
      </c>
      <c r="F6" s="9">
        <f t="shared" si="0"/>
        <v>0</v>
      </c>
    </row>
    <row r="7" spans="1:6" ht="16" x14ac:dyDescent="0.45">
      <c r="A7" s="2" t="s">
        <v>10</v>
      </c>
      <c r="B7" s="3" t="s">
        <v>61</v>
      </c>
      <c r="C7" s="3" t="s">
        <v>67</v>
      </c>
      <c r="D7" s="4">
        <f>SUMIF(Entradas!C:C, A7, Entradas!E:E)</f>
        <v>11</v>
      </c>
      <c r="E7" s="4">
        <f>SUMIF(Salidas!C:C, A7, Salidas!E:E)</f>
        <v>11</v>
      </c>
      <c r="F7" s="5">
        <f t="shared" si="0"/>
        <v>0</v>
      </c>
    </row>
    <row r="8" spans="1:6" ht="16" x14ac:dyDescent="0.45">
      <c r="A8" s="6" t="s">
        <v>11</v>
      </c>
      <c r="B8" s="7" t="s">
        <v>62</v>
      </c>
      <c r="C8" s="3" t="s">
        <v>67</v>
      </c>
      <c r="D8" s="8">
        <f>SUMIF(Entradas!C:C, A8, Entradas!E:E)</f>
        <v>2</v>
      </c>
      <c r="E8" s="8">
        <f>SUMIF(Salidas!C:C, A8, Salidas!E:E)</f>
        <v>1</v>
      </c>
      <c r="F8" s="9">
        <f t="shared" si="0"/>
        <v>1</v>
      </c>
    </row>
    <row r="9" spans="1:6" ht="16" x14ac:dyDescent="0.45">
      <c r="A9" s="2" t="s">
        <v>12</v>
      </c>
      <c r="B9" s="3" t="s">
        <v>63</v>
      </c>
      <c r="C9" s="3" t="s">
        <v>67</v>
      </c>
      <c r="D9" s="4">
        <f>SUMIF(Entradas!C:C, A9, Entradas!E:E)</f>
        <v>1</v>
      </c>
      <c r="E9" s="4">
        <f>SUMIF(Salidas!C:C, A9, Salidas!E:E)</f>
        <v>1</v>
      </c>
      <c r="F9" s="5">
        <f t="shared" si="0"/>
        <v>0</v>
      </c>
    </row>
    <row r="10" spans="1:6" ht="16" x14ac:dyDescent="0.45">
      <c r="A10" s="6" t="s">
        <v>13</v>
      </c>
      <c r="B10" s="7" t="s">
        <v>65</v>
      </c>
      <c r="C10" s="3" t="s">
        <v>67</v>
      </c>
      <c r="D10" s="8">
        <f>SUMIF(Entradas!C:C, A10, Entradas!E:E)</f>
        <v>1</v>
      </c>
      <c r="E10" s="8">
        <f>SUMIF(Salidas!C:C, A10, Salidas!E:E)</f>
        <v>1</v>
      </c>
      <c r="F10" s="9">
        <f t="shared" si="0"/>
        <v>0</v>
      </c>
    </row>
    <row r="11" spans="1:6" ht="16" x14ac:dyDescent="0.45">
      <c r="A11" s="2" t="s">
        <v>14</v>
      </c>
      <c r="B11" s="3" t="s">
        <v>66</v>
      </c>
      <c r="C11" s="3" t="s">
        <v>67</v>
      </c>
      <c r="D11" s="4">
        <f>SUMIF(Entradas!C:C, A11, Entradas!E:E)</f>
        <v>1</v>
      </c>
      <c r="E11" s="4">
        <f>SUMIF(Salidas!C:C, A11, Salidas!E:E)</f>
        <v>1</v>
      </c>
      <c r="F11" s="5">
        <f t="shared" si="0"/>
        <v>0</v>
      </c>
    </row>
    <row r="12" spans="1:6" ht="16" x14ac:dyDescent="0.45">
      <c r="A12" s="6" t="s">
        <v>15</v>
      </c>
      <c r="B12" s="7" t="s">
        <v>82</v>
      </c>
      <c r="C12" s="3" t="s">
        <v>67</v>
      </c>
      <c r="D12" s="8">
        <f>SUMIF(Entradas!C:C, A12, Entradas!E:E)</f>
        <v>9</v>
      </c>
      <c r="E12" s="8">
        <f>SUMIF(Salidas!C:C, A12, Salidas!E:E)</f>
        <v>0</v>
      </c>
      <c r="F12" s="9">
        <f t="shared" si="0"/>
        <v>9</v>
      </c>
    </row>
    <row r="13" spans="1:6" ht="16" x14ac:dyDescent="0.45">
      <c r="A13" s="6" t="s">
        <v>76</v>
      </c>
      <c r="B13" s="7" t="s">
        <v>83</v>
      </c>
      <c r="C13" s="23" t="s">
        <v>81</v>
      </c>
      <c r="D13" s="8">
        <f>SUMIF(Entradas!C:C, A13, Entradas!E:E)</f>
        <v>40</v>
      </c>
      <c r="E13" s="8">
        <f>SUMIF(Salidas!C:C, A13, Salidas!E:E)</f>
        <v>0</v>
      </c>
      <c r="F13" s="9">
        <f t="shared" si="0"/>
        <v>40</v>
      </c>
    </row>
    <row r="14" spans="1:6" ht="16" x14ac:dyDescent="0.45">
      <c r="A14" s="6" t="s">
        <v>77</v>
      </c>
      <c r="B14" s="7" t="s">
        <v>84</v>
      </c>
      <c r="C14" s="23" t="s">
        <v>81</v>
      </c>
      <c r="D14" s="8">
        <f>SUMIF(Entradas!C:C, A14, Entradas!E:E)</f>
        <v>6</v>
      </c>
      <c r="E14" s="8">
        <f>SUMIF(Salidas!C:C, A14, Salidas!E:E)</f>
        <v>0</v>
      </c>
      <c r="F14" s="9">
        <f t="shared" si="0"/>
        <v>6</v>
      </c>
    </row>
    <row r="15" spans="1:6" ht="16" x14ac:dyDescent="0.45">
      <c r="A15" s="6" t="s">
        <v>78</v>
      </c>
      <c r="B15" s="7" t="s">
        <v>85</v>
      </c>
      <c r="C15" s="23" t="s">
        <v>81</v>
      </c>
      <c r="D15" s="8">
        <f>SUMIF(Entradas!C:C, A15, Entradas!E:E)</f>
        <v>1</v>
      </c>
      <c r="E15" s="8">
        <f>SUMIF(Salidas!C:C, A15, Salidas!E:E)</f>
        <v>0</v>
      </c>
      <c r="F15" s="9">
        <f t="shared" si="0"/>
        <v>1</v>
      </c>
    </row>
    <row r="16" spans="1:6" ht="16" x14ac:dyDescent="0.45">
      <c r="A16" s="6" t="s">
        <v>79</v>
      </c>
      <c r="B16" s="7" t="s">
        <v>86</v>
      </c>
      <c r="C16" s="23" t="s">
        <v>81</v>
      </c>
      <c r="D16" s="8">
        <f>SUMIF(Entradas!C:C, A16, Entradas!E:E)</f>
        <v>2</v>
      </c>
      <c r="E16" s="8">
        <f>SUMIF(Salidas!C:C, A16, Salidas!E:E)</f>
        <v>0</v>
      </c>
      <c r="F16" s="9">
        <f t="shared" si="0"/>
        <v>2</v>
      </c>
    </row>
    <row r="17" spans="1:6" ht="16" x14ac:dyDescent="0.45">
      <c r="A17" s="6" t="s">
        <v>80</v>
      </c>
      <c r="B17" s="7" t="s">
        <v>87</v>
      </c>
      <c r="C17" s="23" t="s">
        <v>81</v>
      </c>
      <c r="D17" s="8">
        <f>SUMIF(Entradas!C:C, A17, Entradas!E:E)</f>
        <v>5</v>
      </c>
      <c r="E17" s="8">
        <f>SUMIF(Salidas!C:C, A17, Salidas!E:E)</f>
        <v>0</v>
      </c>
      <c r="F17" s="9">
        <f t="shared" si="0"/>
        <v>5</v>
      </c>
    </row>
    <row r="18" spans="1:6" ht="16" x14ac:dyDescent="0.45">
      <c r="A18" s="6" t="s">
        <v>88</v>
      </c>
      <c r="B18" s="7" t="s">
        <v>90</v>
      </c>
      <c r="C18" s="23" t="s">
        <v>81</v>
      </c>
      <c r="D18" s="8">
        <f>SUMIF(Entradas!C:C, A18, Entradas!E:E)</f>
        <v>9</v>
      </c>
      <c r="E18" s="8">
        <f>SUMIF(Salidas!C:C, A18, Salidas!E:E)</f>
        <v>0</v>
      </c>
      <c r="F18" s="9">
        <f t="shared" si="0"/>
        <v>9</v>
      </c>
    </row>
    <row r="19" spans="1:6" ht="16" x14ac:dyDescent="0.45">
      <c r="A19" s="6" t="s">
        <v>89</v>
      </c>
      <c r="B19" s="7" t="s">
        <v>91</v>
      </c>
      <c r="C19" s="23" t="s">
        <v>81</v>
      </c>
      <c r="D19" s="8">
        <f>SUMIF(Entradas!C:C, A19, Entradas!E:E)</f>
        <v>5</v>
      </c>
      <c r="E19" s="8">
        <f>SUMIF(Salidas!C:C, A19, Salidas!E:E)</f>
        <v>0</v>
      </c>
      <c r="F19" s="9">
        <f t="shared" si="0"/>
        <v>5</v>
      </c>
    </row>
    <row r="20" spans="1:6" ht="16" x14ac:dyDescent="0.45">
      <c r="A20" s="6" t="s">
        <v>92</v>
      </c>
      <c r="B20" s="24" t="s">
        <v>96</v>
      </c>
      <c r="C20" s="23" t="s">
        <v>81</v>
      </c>
      <c r="D20" s="8">
        <f>SUMIF(Entradas!C:C, A20, Entradas!E:E)</f>
        <v>18</v>
      </c>
      <c r="E20" s="8">
        <f>SUMIF(Salidas!C:C, A20, Salidas!E:E)</f>
        <v>0</v>
      </c>
      <c r="F20" s="9">
        <f t="shared" ref="F20:F27" si="1">D20-E20</f>
        <v>18</v>
      </c>
    </row>
    <row r="21" spans="1:6" ht="16" x14ac:dyDescent="0.45">
      <c r="A21" s="6" t="s">
        <v>93</v>
      </c>
      <c r="B21" s="24" t="s">
        <v>97</v>
      </c>
      <c r="C21" s="23" t="s">
        <v>81</v>
      </c>
      <c r="D21" s="8">
        <f>SUMIF(Entradas!C:C, A21, Entradas!E:E)</f>
        <v>8</v>
      </c>
      <c r="E21" s="8">
        <f>SUMIF(Salidas!C:C, A21, Salidas!E:E)</f>
        <v>0</v>
      </c>
      <c r="F21" s="9">
        <f t="shared" si="1"/>
        <v>8</v>
      </c>
    </row>
    <row r="22" spans="1:6" ht="16" x14ac:dyDescent="0.45">
      <c r="A22" s="6" t="s">
        <v>94</v>
      </c>
      <c r="B22" s="24" t="s">
        <v>98</v>
      </c>
      <c r="C22" s="23" t="s">
        <v>81</v>
      </c>
      <c r="D22" s="8">
        <f>SUMIF(Entradas!C:C, A22, Entradas!E:E)</f>
        <v>2</v>
      </c>
      <c r="E22" s="8">
        <f>SUMIF(Salidas!C:C, A22, Salidas!E:E)</f>
        <v>0</v>
      </c>
      <c r="F22" s="9">
        <f t="shared" si="1"/>
        <v>2</v>
      </c>
    </row>
    <row r="23" spans="1:6" ht="16" x14ac:dyDescent="0.45">
      <c r="A23" s="6" t="s">
        <v>95</v>
      </c>
      <c r="B23" s="24" t="s">
        <v>99</v>
      </c>
      <c r="C23" s="23" t="s">
        <v>81</v>
      </c>
      <c r="D23" s="8">
        <f>SUMIF(Entradas!C:C, A23, Entradas!E:E)</f>
        <v>2</v>
      </c>
      <c r="E23" s="8">
        <f>SUMIF(Salidas!C:C, A23, Salidas!E:E)</f>
        <v>0</v>
      </c>
      <c r="F23" s="9">
        <f t="shared" si="1"/>
        <v>2</v>
      </c>
    </row>
    <row r="24" spans="1:6" ht="16" x14ac:dyDescent="0.45">
      <c r="A24" s="6" t="s">
        <v>100</v>
      </c>
      <c r="B24" s="24" t="s">
        <v>104</v>
      </c>
      <c r="C24" s="23" t="s">
        <v>81</v>
      </c>
      <c r="D24" s="8">
        <f>SUMIF(Entradas!C:C, A24, Entradas!E:E)</f>
        <v>4</v>
      </c>
      <c r="E24" s="8">
        <f>SUMIF(Salidas!C:C, A24, Salidas!E:E)</f>
        <v>0</v>
      </c>
      <c r="F24" s="9">
        <f t="shared" si="1"/>
        <v>4</v>
      </c>
    </row>
    <row r="25" spans="1:6" ht="16" x14ac:dyDescent="0.45">
      <c r="A25" s="6" t="s">
        <v>101</v>
      </c>
      <c r="B25" s="24" t="s">
        <v>105</v>
      </c>
      <c r="C25" s="23" t="s">
        <v>81</v>
      </c>
      <c r="D25" s="8">
        <f>SUMIF(Entradas!C:C, A25, Entradas!E:E)</f>
        <v>8</v>
      </c>
      <c r="E25" s="8">
        <f>SUMIF(Salidas!C:C, A25, Salidas!E:E)</f>
        <v>0</v>
      </c>
      <c r="F25" s="9">
        <f t="shared" si="1"/>
        <v>8</v>
      </c>
    </row>
    <row r="26" spans="1:6" ht="16" x14ac:dyDescent="0.45">
      <c r="A26" s="6" t="s">
        <v>102</v>
      </c>
      <c r="B26" s="24" t="s">
        <v>106</v>
      </c>
      <c r="C26" s="23" t="s">
        <v>110</v>
      </c>
      <c r="D26" s="8">
        <f>SUMIF(Entradas!C:C, A26, Entradas!E:E)</f>
        <v>6</v>
      </c>
      <c r="E26" s="8">
        <f>SUMIF(Salidas!C:C, A26, Salidas!E:E)</f>
        <v>0</v>
      </c>
      <c r="F26" s="9">
        <f t="shared" si="1"/>
        <v>6</v>
      </c>
    </row>
    <row r="27" spans="1:6" ht="16" x14ac:dyDescent="0.45">
      <c r="A27" s="6" t="s">
        <v>103</v>
      </c>
      <c r="B27" s="24" t="s">
        <v>107</v>
      </c>
      <c r="C27" s="23" t="s">
        <v>110</v>
      </c>
      <c r="D27" s="8">
        <f>SUMIF(Entradas!C:C, A27, Entradas!E:E)</f>
        <v>4</v>
      </c>
      <c r="E27" s="8">
        <f>SUMIF(Salidas!C:C, A27, Salidas!E:E)</f>
        <v>0</v>
      </c>
      <c r="F27" s="9">
        <f t="shared" si="1"/>
        <v>4</v>
      </c>
    </row>
    <row r="28" spans="1:6" ht="16" x14ac:dyDescent="0.45">
      <c r="A28" s="6" t="s">
        <v>109</v>
      </c>
      <c r="B28" s="24" t="s">
        <v>108</v>
      </c>
      <c r="C28" s="23" t="s">
        <v>110</v>
      </c>
      <c r="D28" s="8">
        <f>SUMIF(Entradas!C:C, A28, Entradas!E:E)</f>
        <v>14</v>
      </c>
      <c r="E28" s="8">
        <f>SUMIF(Salidas!C:C, A28, Salidas!E:E)</f>
        <v>0</v>
      </c>
      <c r="F28" s="9">
        <f t="shared" ref="F28" si="2">D28-E28</f>
        <v>14</v>
      </c>
    </row>
    <row r="29" spans="1:6" ht="16" x14ac:dyDescent="0.45">
      <c r="A29" s="6" t="s">
        <v>111</v>
      </c>
      <c r="B29" s="24" t="s">
        <v>115</v>
      </c>
      <c r="C29" s="23" t="s">
        <v>110</v>
      </c>
      <c r="D29" s="8">
        <f>SUMIF(Entradas!C:C, A29, Entradas!E:E)</f>
        <v>5</v>
      </c>
      <c r="E29" s="8">
        <f>SUMIF(Salidas!C:C, A29, Salidas!E:E)</f>
        <v>0</v>
      </c>
      <c r="F29" s="9">
        <f t="shared" ref="F29:F32" si="3">D29-E29</f>
        <v>5</v>
      </c>
    </row>
    <row r="30" spans="1:6" ht="16" x14ac:dyDescent="0.45">
      <c r="A30" s="6" t="s">
        <v>112</v>
      </c>
      <c r="B30" s="24" t="s">
        <v>116</v>
      </c>
      <c r="C30" s="23" t="s">
        <v>110</v>
      </c>
      <c r="D30" s="8">
        <f>SUMIF(Entradas!C:C, A30, Entradas!E:E)</f>
        <v>4</v>
      </c>
      <c r="E30" s="8">
        <f>SUMIF(Salidas!C:C, A30, Salidas!E:E)</f>
        <v>0</v>
      </c>
      <c r="F30" s="9">
        <f t="shared" si="3"/>
        <v>4</v>
      </c>
    </row>
    <row r="31" spans="1:6" ht="16" x14ac:dyDescent="0.45">
      <c r="A31" s="6" t="s">
        <v>113</v>
      </c>
      <c r="B31" s="24" t="s">
        <v>117</v>
      </c>
      <c r="C31" s="23" t="s">
        <v>110</v>
      </c>
      <c r="D31" s="8">
        <f>SUMIF(Entradas!C:C, A31, Entradas!E:E)</f>
        <v>2</v>
      </c>
      <c r="E31" s="8">
        <f>SUMIF(Salidas!C:C, A31, Salidas!E:E)</f>
        <v>0</v>
      </c>
      <c r="F31" s="9">
        <f t="shared" si="3"/>
        <v>2</v>
      </c>
    </row>
    <row r="32" spans="1:6" ht="16" x14ac:dyDescent="0.45">
      <c r="A32" s="6" t="s">
        <v>114</v>
      </c>
      <c r="B32" s="24" t="s">
        <v>118</v>
      </c>
      <c r="C32" s="23" t="s">
        <v>110</v>
      </c>
      <c r="D32" s="8">
        <f>SUMIF(Entradas!C:C, A32, Entradas!E:E)</f>
        <v>5</v>
      </c>
      <c r="E32" s="8">
        <f>SUMIF(Salidas!C:C, A32, Salidas!E:E)</f>
        <v>0</v>
      </c>
      <c r="F32" s="9">
        <f t="shared" si="3"/>
        <v>5</v>
      </c>
    </row>
    <row r="33" spans="1:6" ht="16.5" x14ac:dyDescent="0.45">
      <c r="A33" s="10" t="s">
        <v>16</v>
      </c>
      <c r="B33" s="11"/>
      <c r="C33" s="11"/>
      <c r="D33" s="12">
        <f>SUM(D5:D32)</f>
        <v>193</v>
      </c>
      <c r="E33" s="12">
        <f>SUM(E5:E32)</f>
        <v>33</v>
      </c>
      <c r="F33" s="12">
        <f>SUM(F5:F32)</f>
        <v>160</v>
      </c>
    </row>
  </sheetData>
  <mergeCells count="2">
    <mergeCell ref="A2:F2"/>
    <mergeCell ref="A1:F1"/>
  </mergeCells>
  <dataValidations count="2">
    <dataValidation type="list" allowBlank="1" showInputMessage="1" showErrorMessage="1" sqref="C6:C32">
      <formula1>"HOGAR, ASEO, ALIMENTOS, ROPA, JUGUETES, ELEMENTOS CONSTRUCCIÓN"</formula1>
    </dataValidation>
    <dataValidation type="list" allowBlank="1" showInputMessage="1" showErrorMessage="1" sqref="C5">
      <formula1>"HOGAR, ASEO, ALIMENTOS, ROPA, JUGUETES, ELEMENTOS CONSTRUCCIÓN, EPP"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C32" sqref="C32"/>
    </sheetView>
  </sheetViews>
  <sheetFormatPr baseColWidth="10" defaultColWidth="8.7265625" defaultRowHeight="14.5" x14ac:dyDescent="0.35"/>
  <cols>
    <col min="1" max="1" width="15" customWidth="1"/>
    <col min="2" max="2" width="21" customWidth="1"/>
    <col min="3" max="3" width="15" customWidth="1"/>
    <col min="4" max="4" width="31" bestFit="1" customWidth="1"/>
    <col min="5" max="5" width="21" customWidth="1"/>
    <col min="6" max="6" width="28" customWidth="1"/>
  </cols>
  <sheetData>
    <row r="1" spans="1:6" ht="35" customHeight="1" x14ac:dyDescent="0.35">
      <c r="A1" s="19" t="s">
        <v>17</v>
      </c>
      <c r="B1" s="17"/>
      <c r="C1" s="17"/>
      <c r="D1" s="17"/>
      <c r="E1" s="17"/>
      <c r="F1" s="17"/>
    </row>
    <row r="3" spans="1:6" ht="24" customHeight="1" x14ac:dyDescent="0.35">
      <c r="A3" s="13" t="s">
        <v>18</v>
      </c>
      <c r="B3" s="13" t="s">
        <v>19</v>
      </c>
      <c r="C3" s="13" t="s">
        <v>2</v>
      </c>
      <c r="D3" s="13" t="s">
        <v>20</v>
      </c>
      <c r="E3" s="13" t="s">
        <v>21</v>
      </c>
      <c r="F3" s="13" t="s">
        <v>22</v>
      </c>
    </row>
    <row r="4" spans="1:6" ht="16" x14ac:dyDescent="0.45">
      <c r="A4" s="2" t="s">
        <v>23</v>
      </c>
      <c r="B4" s="2" t="s">
        <v>24</v>
      </c>
      <c r="C4" s="2" t="s">
        <v>8</v>
      </c>
      <c r="D4" s="3" t="s">
        <v>59</v>
      </c>
      <c r="E4" s="4">
        <v>11</v>
      </c>
      <c r="F4" s="3" t="s">
        <v>58</v>
      </c>
    </row>
    <row r="5" spans="1:6" ht="16" x14ac:dyDescent="0.45">
      <c r="A5" s="6" t="s">
        <v>25</v>
      </c>
      <c r="B5" s="6" t="s">
        <v>26</v>
      </c>
      <c r="C5" s="6" t="s">
        <v>9</v>
      </c>
      <c r="D5" s="3" t="s">
        <v>59</v>
      </c>
      <c r="E5" s="8">
        <v>7</v>
      </c>
      <c r="F5" s="7" t="s">
        <v>60</v>
      </c>
    </row>
    <row r="6" spans="1:6" ht="16" x14ac:dyDescent="0.45">
      <c r="A6" s="2" t="s">
        <v>27</v>
      </c>
      <c r="B6" s="2" t="s">
        <v>28</v>
      </c>
      <c r="C6" s="2" t="s">
        <v>10</v>
      </c>
      <c r="D6" s="3" t="s">
        <v>59</v>
      </c>
      <c r="E6" s="4">
        <v>11</v>
      </c>
      <c r="F6" s="3" t="s">
        <v>61</v>
      </c>
    </row>
    <row r="7" spans="1:6" ht="16" x14ac:dyDescent="0.45">
      <c r="A7" s="6" t="s">
        <v>29</v>
      </c>
      <c r="B7" s="6" t="s">
        <v>30</v>
      </c>
      <c r="C7" s="6" t="s">
        <v>11</v>
      </c>
      <c r="D7" s="3" t="s">
        <v>59</v>
      </c>
      <c r="E7" s="8">
        <v>2</v>
      </c>
      <c r="F7" s="7" t="s">
        <v>62</v>
      </c>
    </row>
    <row r="8" spans="1:6" ht="16" x14ac:dyDescent="0.45">
      <c r="A8" s="2" t="s">
        <v>31</v>
      </c>
      <c r="B8" s="2" t="s">
        <v>32</v>
      </c>
      <c r="C8" s="2" t="s">
        <v>12</v>
      </c>
      <c r="D8" s="3" t="s">
        <v>59</v>
      </c>
      <c r="E8" s="4">
        <v>1</v>
      </c>
      <c r="F8" s="3" t="s">
        <v>63</v>
      </c>
    </row>
    <row r="9" spans="1:6" ht="16" x14ac:dyDescent="0.45">
      <c r="A9" s="6" t="s">
        <v>33</v>
      </c>
      <c r="B9" s="6" t="s">
        <v>34</v>
      </c>
      <c r="C9" s="6" t="s">
        <v>13</v>
      </c>
      <c r="D9" s="3" t="s">
        <v>59</v>
      </c>
      <c r="E9" s="8">
        <v>1</v>
      </c>
      <c r="F9" s="7" t="s">
        <v>65</v>
      </c>
    </row>
    <row r="10" spans="1:6" ht="16" x14ac:dyDescent="0.45">
      <c r="A10" s="2" t="s">
        <v>35</v>
      </c>
      <c r="B10" s="2" t="s">
        <v>36</v>
      </c>
      <c r="C10" s="2" t="s">
        <v>14</v>
      </c>
      <c r="D10" s="3" t="s">
        <v>59</v>
      </c>
      <c r="E10" s="4">
        <v>1</v>
      </c>
      <c r="F10" s="3" t="s">
        <v>66</v>
      </c>
    </row>
    <row r="11" spans="1:6" ht="16" x14ac:dyDescent="0.45">
      <c r="C11" s="2" t="s">
        <v>15</v>
      </c>
      <c r="D11" s="22" t="s">
        <v>71</v>
      </c>
      <c r="E11" s="8">
        <v>9</v>
      </c>
      <c r="F11" s="24" t="s">
        <v>82</v>
      </c>
    </row>
    <row r="12" spans="1:6" ht="16" x14ac:dyDescent="0.45">
      <c r="C12" s="2" t="s">
        <v>76</v>
      </c>
      <c r="D12" s="22" t="s">
        <v>71</v>
      </c>
      <c r="E12" s="8">
        <v>40</v>
      </c>
      <c r="F12" s="24" t="s">
        <v>83</v>
      </c>
    </row>
    <row r="13" spans="1:6" ht="16" x14ac:dyDescent="0.45">
      <c r="C13" s="2" t="s">
        <v>77</v>
      </c>
      <c r="D13" s="22" t="s">
        <v>71</v>
      </c>
      <c r="E13" s="8">
        <v>6</v>
      </c>
      <c r="F13" s="24" t="s">
        <v>84</v>
      </c>
    </row>
    <row r="14" spans="1:6" ht="16" x14ac:dyDescent="0.45">
      <c r="C14" s="2" t="s">
        <v>78</v>
      </c>
      <c r="D14" s="22" t="s">
        <v>71</v>
      </c>
      <c r="E14" s="8">
        <v>1</v>
      </c>
      <c r="F14" s="24" t="s">
        <v>85</v>
      </c>
    </row>
    <row r="15" spans="1:6" ht="16" x14ac:dyDescent="0.45">
      <c r="C15" s="2" t="s">
        <v>79</v>
      </c>
      <c r="D15" s="22" t="s">
        <v>71</v>
      </c>
      <c r="E15" s="8">
        <v>2</v>
      </c>
      <c r="F15" s="24" t="s">
        <v>86</v>
      </c>
    </row>
    <row r="16" spans="1:6" ht="16" x14ac:dyDescent="0.45">
      <c r="C16" s="2" t="s">
        <v>80</v>
      </c>
      <c r="D16" s="22" t="s">
        <v>71</v>
      </c>
      <c r="E16" s="8">
        <v>5</v>
      </c>
      <c r="F16" s="24" t="s">
        <v>87</v>
      </c>
    </row>
    <row r="17" spans="3:6" ht="16" x14ac:dyDescent="0.45">
      <c r="C17" s="2" t="s">
        <v>88</v>
      </c>
      <c r="D17" s="22" t="s">
        <v>71</v>
      </c>
      <c r="E17" s="8">
        <v>9</v>
      </c>
      <c r="F17" s="24" t="s">
        <v>90</v>
      </c>
    </row>
    <row r="18" spans="3:6" ht="16" x14ac:dyDescent="0.45">
      <c r="C18" s="2" t="s">
        <v>89</v>
      </c>
      <c r="D18" s="22" t="s">
        <v>71</v>
      </c>
      <c r="E18" s="8">
        <v>5</v>
      </c>
      <c r="F18" s="24" t="s">
        <v>91</v>
      </c>
    </row>
    <row r="19" spans="3:6" ht="16" x14ac:dyDescent="0.45">
      <c r="C19" s="2" t="s">
        <v>92</v>
      </c>
      <c r="D19" s="22" t="s">
        <v>71</v>
      </c>
      <c r="E19" s="8">
        <v>18</v>
      </c>
      <c r="F19" s="24" t="s">
        <v>96</v>
      </c>
    </row>
    <row r="20" spans="3:6" ht="16" x14ac:dyDescent="0.45">
      <c r="C20" s="2" t="s">
        <v>93</v>
      </c>
      <c r="D20" s="22" t="s">
        <v>71</v>
      </c>
      <c r="E20" s="8">
        <v>8</v>
      </c>
      <c r="F20" s="24" t="s">
        <v>97</v>
      </c>
    </row>
    <row r="21" spans="3:6" ht="16" x14ac:dyDescent="0.45">
      <c r="C21" s="2" t="s">
        <v>94</v>
      </c>
      <c r="D21" s="22" t="s">
        <v>71</v>
      </c>
      <c r="E21" s="8">
        <v>2</v>
      </c>
      <c r="F21" s="24" t="s">
        <v>98</v>
      </c>
    </row>
    <row r="22" spans="3:6" ht="16" x14ac:dyDescent="0.45">
      <c r="C22" s="2" t="s">
        <v>95</v>
      </c>
      <c r="D22" s="22" t="s">
        <v>71</v>
      </c>
      <c r="E22" s="8">
        <v>2</v>
      </c>
      <c r="F22" s="24" t="s">
        <v>99</v>
      </c>
    </row>
    <row r="23" spans="3:6" ht="16" x14ac:dyDescent="0.45">
      <c r="C23" s="2" t="s">
        <v>100</v>
      </c>
      <c r="D23" s="22" t="s">
        <v>71</v>
      </c>
      <c r="E23" s="8">
        <v>4</v>
      </c>
      <c r="F23" s="24" t="s">
        <v>104</v>
      </c>
    </row>
    <row r="24" spans="3:6" ht="16" x14ac:dyDescent="0.45">
      <c r="C24" s="2" t="s">
        <v>101</v>
      </c>
      <c r="D24" s="22" t="s">
        <v>71</v>
      </c>
      <c r="E24" s="8">
        <v>8</v>
      </c>
      <c r="F24" s="24" t="s">
        <v>105</v>
      </c>
    </row>
    <row r="25" spans="3:6" ht="16" x14ac:dyDescent="0.45">
      <c r="C25" s="2" t="s">
        <v>102</v>
      </c>
      <c r="D25" s="22" t="s">
        <v>71</v>
      </c>
      <c r="E25" s="8">
        <v>6</v>
      </c>
      <c r="F25" s="24" t="s">
        <v>106</v>
      </c>
    </row>
    <row r="26" spans="3:6" ht="16" x14ac:dyDescent="0.45">
      <c r="C26" s="2" t="s">
        <v>103</v>
      </c>
      <c r="D26" s="22" t="s">
        <v>71</v>
      </c>
      <c r="E26" s="8">
        <v>4</v>
      </c>
      <c r="F26" s="24" t="s">
        <v>107</v>
      </c>
    </row>
    <row r="27" spans="3:6" ht="16" x14ac:dyDescent="0.45">
      <c r="C27" s="2" t="s">
        <v>109</v>
      </c>
      <c r="D27" s="22" t="s">
        <v>71</v>
      </c>
      <c r="E27" s="8">
        <v>14</v>
      </c>
      <c r="F27" s="24" t="s">
        <v>108</v>
      </c>
    </row>
    <row r="28" spans="3:6" ht="16" x14ac:dyDescent="0.45">
      <c r="C28" s="2" t="s">
        <v>111</v>
      </c>
      <c r="D28" s="22" t="s">
        <v>71</v>
      </c>
      <c r="E28" s="8">
        <v>5</v>
      </c>
      <c r="F28" s="24" t="s">
        <v>115</v>
      </c>
    </row>
    <row r="29" spans="3:6" ht="16" x14ac:dyDescent="0.45">
      <c r="C29" s="2" t="s">
        <v>112</v>
      </c>
      <c r="D29" s="22" t="s">
        <v>71</v>
      </c>
      <c r="E29" s="8">
        <v>4</v>
      </c>
      <c r="F29" s="24" t="s">
        <v>116</v>
      </c>
    </row>
    <row r="30" spans="3:6" ht="16" x14ac:dyDescent="0.45">
      <c r="C30" s="2" t="s">
        <v>113</v>
      </c>
      <c r="D30" s="22" t="s">
        <v>71</v>
      </c>
      <c r="E30" s="8">
        <v>2</v>
      </c>
      <c r="F30" s="24" t="s">
        <v>117</v>
      </c>
    </row>
    <row r="31" spans="3:6" ht="16" x14ac:dyDescent="0.45">
      <c r="C31" s="2" t="s">
        <v>114</v>
      </c>
      <c r="D31" s="22" t="s">
        <v>71</v>
      </c>
      <c r="E31" s="8">
        <v>5</v>
      </c>
      <c r="F31" s="24" t="s">
        <v>118</v>
      </c>
    </row>
    <row r="32" spans="3:6" ht="16" x14ac:dyDescent="0.45">
      <c r="E32" s="8"/>
      <c r="F32" s="24"/>
    </row>
  </sheetData>
  <mergeCells count="1"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Inventario!$A$5:$A$70</xm:f>
          </x14:formula1>
          <xm:sqref>C4:C100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F4" sqref="F4"/>
    </sheetView>
  </sheetViews>
  <sheetFormatPr baseColWidth="10" defaultColWidth="8.7265625" defaultRowHeight="14.5" x14ac:dyDescent="0.35"/>
  <cols>
    <col min="1" max="1" width="15" customWidth="1"/>
    <col min="2" max="2" width="19" customWidth="1"/>
    <col min="3" max="3" width="15" customWidth="1"/>
    <col min="4" max="4" width="29" customWidth="1"/>
    <col min="5" max="5" width="22" customWidth="1"/>
    <col min="6" max="6" width="23" customWidth="1"/>
  </cols>
  <sheetData>
    <row r="1" spans="1:6" ht="35" customHeight="1" x14ac:dyDescent="0.35">
      <c r="A1" s="20" t="s">
        <v>37</v>
      </c>
      <c r="B1" s="17"/>
      <c r="C1" s="17"/>
      <c r="D1" s="17"/>
      <c r="E1" s="17"/>
      <c r="F1" s="17"/>
    </row>
    <row r="3" spans="1:6" ht="24" customHeight="1" x14ac:dyDescent="0.35">
      <c r="A3" s="14" t="s">
        <v>18</v>
      </c>
      <c r="B3" s="14" t="s">
        <v>38</v>
      </c>
      <c r="C3" s="14" t="s">
        <v>2</v>
      </c>
      <c r="D3" s="14" t="s">
        <v>39</v>
      </c>
      <c r="E3" s="14" t="s">
        <v>40</v>
      </c>
      <c r="F3" s="14" t="s">
        <v>41</v>
      </c>
    </row>
    <row r="4" spans="1:6" ht="16" x14ac:dyDescent="0.45">
      <c r="A4" s="2" t="s">
        <v>27</v>
      </c>
      <c r="B4" s="2" t="s">
        <v>42</v>
      </c>
      <c r="C4" s="2" t="s">
        <v>8</v>
      </c>
      <c r="D4" s="3" t="s">
        <v>68</v>
      </c>
      <c r="E4" s="4">
        <v>2</v>
      </c>
      <c r="F4" s="3"/>
    </row>
    <row r="5" spans="1:6" ht="16" x14ac:dyDescent="0.45">
      <c r="A5" s="6" t="s">
        <v>43</v>
      </c>
      <c r="B5" s="6" t="s">
        <v>44</v>
      </c>
      <c r="C5" s="2" t="s">
        <v>8</v>
      </c>
      <c r="D5" s="7" t="s">
        <v>69</v>
      </c>
      <c r="E5" s="8">
        <v>6</v>
      </c>
      <c r="F5" s="7"/>
    </row>
    <row r="6" spans="1:6" ht="16" x14ac:dyDescent="0.45">
      <c r="A6" s="2" t="s">
        <v>31</v>
      </c>
      <c r="B6" s="2" t="s">
        <v>45</v>
      </c>
      <c r="C6" s="2" t="s">
        <v>8</v>
      </c>
      <c r="D6" s="3" t="s">
        <v>70</v>
      </c>
      <c r="E6" s="4">
        <v>3</v>
      </c>
      <c r="F6" s="3"/>
    </row>
    <row r="7" spans="1:6" ht="16" x14ac:dyDescent="0.45">
      <c r="A7" s="6" t="s">
        <v>46</v>
      </c>
      <c r="B7" s="6" t="s">
        <v>47</v>
      </c>
      <c r="C7" s="6" t="s">
        <v>9</v>
      </c>
      <c r="D7" s="7" t="s">
        <v>68</v>
      </c>
      <c r="E7" s="8">
        <v>2</v>
      </c>
      <c r="F7" s="7"/>
    </row>
    <row r="8" spans="1:6" ht="16" x14ac:dyDescent="0.45">
      <c r="A8" s="2" t="s">
        <v>48</v>
      </c>
      <c r="B8" s="2" t="s">
        <v>49</v>
      </c>
      <c r="C8" s="2" t="s">
        <v>9</v>
      </c>
      <c r="D8" s="3" t="s">
        <v>69</v>
      </c>
      <c r="E8" s="4">
        <v>5</v>
      </c>
      <c r="F8" s="3"/>
    </row>
    <row r="9" spans="1:6" ht="16" x14ac:dyDescent="0.45">
      <c r="A9" s="6" t="s">
        <v>50</v>
      </c>
      <c r="B9" s="6" t="s">
        <v>51</v>
      </c>
      <c r="C9" s="6" t="s">
        <v>10</v>
      </c>
      <c r="D9" s="7" t="s">
        <v>68</v>
      </c>
      <c r="E9" s="8">
        <v>2</v>
      </c>
      <c r="F9" s="7"/>
    </row>
    <row r="10" spans="1:6" ht="16" x14ac:dyDescent="0.45">
      <c r="A10" s="6" t="s">
        <v>50</v>
      </c>
      <c r="B10" s="6" t="s">
        <v>51</v>
      </c>
      <c r="C10" s="2" t="s">
        <v>10</v>
      </c>
      <c r="D10" s="7" t="s">
        <v>69</v>
      </c>
      <c r="E10" s="7">
        <v>9</v>
      </c>
    </row>
    <row r="11" spans="1:6" ht="16" x14ac:dyDescent="0.45">
      <c r="A11" s="6" t="s">
        <v>50</v>
      </c>
      <c r="B11" s="6" t="s">
        <v>51</v>
      </c>
      <c r="C11" s="2" t="s">
        <v>11</v>
      </c>
      <c r="D11" s="7" t="s">
        <v>70</v>
      </c>
      <c r="E11" s="7">
        <v>1</v>
      </c>
    </row>
    <row r="12" spans="1:6" ht="16" x14ac:dyDescent="0.45">
      <c r="A12" s="6" t="s">
        <v>50</v>
      </c>
      <c r="B12" s="6" t="s">
        <v>51</v>
      </c>
      <c r="C12" s="2" t="s">
        <v>12</v>
      </c>
      <c r="D12" s="7" t="s">
        <v>68</v>
      </c>
      <c r="E12">
        <v>1</v>
      </c>
    </row>
    <row r="13" spans="1:6" ht="16" x14ac:dyDescent="0.45">
      <c r="A13" s="6" t="s">
        <v>50</v>
      </c>
      <c r="B13" s="6" t="s">
        <v>51</v>
      </c>
      <c r="C13" s="2" t="s">
        <v>13</v>
      </c>
      <c r="D13" s="7" t="s">
        <v>69</v>
      </c>
      <c r="E13">
        <v>1</v>
      </c>
    </row>
    <row r="14" spans="1:6" ht="16" x14ac:dyDescent="0.45">
      <c r="A14" s="6" t="s">
        <v>50</v>
      </c>
      <c r="B14" s="6" t="s">
        <v>51</v>
      </c>
      <c r="C14" s="2" t="s">
        <v>14</v>
      </c>
      <c r="D14" s="7" t="s">
        <v>68</v>
      </c>
      <c r="E14">
        <v>1</v>
      </c>
    </row>
  </sheetData>
  <mergeCells count="1"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Inventario!$A$5:$A$70</xm:f>
          </x14:formula1>
          <xm:sqref>C4:C99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7" sqref="B7"/>
    </sheetView>
  </sheetViews>
  <sheetFormatPr baseColWidth="10" defaultColWidth="8.7265625" defaultRowHeight="14.5" x14ac:dyDescent="0.35"/>
  <cols>
    <col min="1" max="1" width="16" customWidth="1"/>
    <col min="2" max="2" width="31" bestFit="1" customWidth="1"/>
    <col min="3" max="3" width="19" customWidth="1"/>
    <col min="4" max="4" width="24" customWidth="1"/>
    <col min="5" max="5" width="37.453125" bestFit="1" customWidth="1"/>
  </cols>
  <sheetData>
    <row r="1" spans="1:5" ht="35" customHeight="1" x14ac:dyDescent="0.35">
      <c r="A1" s="21" t="s">
        <v>52</v>
      </c>
      <c r="B1" s="17"/>
      <c r="C1" s="17"/>
      <c r="D1" s="17"/>
      <c r="E1" s="17"/>
    </row>
    <row r="3" spans="1:5" ht="24" customHeight="1" x14ac:dyDescent="0.35">
      <c r="A3" s="15" t="s">
        <v>53</v>
      </c>
      <c r="B3" s="15" t="s">
        <v>54</v>
      </c>
      <c r="C3" s="15" t="s">
        <v>55</v>
      </c>
      <c r="D3" s="15" t="s">
        <v>56</v>
      </c>
      <c r="E3" s="15" t="s">
        <v>57</v>
      </c>
    </row>
    <row r="4" spans="1:5" ht="16" x14ac:dyDescent="0.45">
      <c r="A4" s="2" t="s">
        <v>64</v>
      </c>
      <c r="B4" s="3" t="s">
        <v>59</v>
      </c>
      <c r="C4" s="2"/>
      <c r="D4" s="2"/>
      <c r="E4" s="3"/>
    </row>
    <row r="5" spans="1:5" ht="16" x14ac:dyDescent="0.45">
      <c r="A5" s="2" t="s">
        <v>64</v>
      </c>
      <c r="B5" s="7" t="s">
        <v>71</v>
      </c>
      <c r="C5" s="6"/>
      <c r="D5" s="6"/>
      <c r="E5" s="7"/>
    </row>
    <row r="6" spans="1:5" ht="16" x14ac:dyDescent="0.45">
      <c r="A6" s="2" t="s">
        <v>64</v>
      </c>
      <c r="B6" s="3" t="s">
        <v>72</v>
      </c>
      <c r="C6" s="2"/>
      <c r="D6" s="2"/>
      <c r="E6" s="3"/>
    </row>
    <row r="7" spans="1:5" ht="16" x14ac:dyDescent="0.45">
      <c r="A7" s="2" t="s">
        <v>73</v>
      </c>
      <c r="B7" s="7" t="s">
        <v>74</v>
      </c>
      <c r="C7" s="6">
        <v>9990638</v>
      </c>
      <c r="D7" s="6">
        <v>3103477714</v>
      </c>
      <c r="E7" s="7" t="s">
        <v>75</v>
      </c>
    </row>
    <row r="8" spans="1:5" ht="16" x14ac:dyDescent="0.45">
      <c r="A8" s="2" t="s">
        <v>64</v>
      </c>
      <c r="B8" s="3"/>
      <c r="C8" s="2"/>
      <c r="D8" s="2"/>
      <c r="E8" s="3"/>
    </row>
    <row r="9" spans="1:5" ht="16" x14ac:dyDescent="0.45">
      <c r="A9" s="2" t="s">
        <v>64</v>
      </c>
      <c r="B9" s="7"/>
      <c r="C9" s="6"/>
      <c r="D9" s="6"/>
      <c r="E9" s="7"/>
    </row>
  </sheetData>
  <mergeCells count="1">
    <mergeCell ref="A1:E1"/>
  </mergeCells>
  <dataValidations count="1">
    <dataValidation type="list" allowBlank="1" showInputMessage="1" showErrorMessage="1" sqref="A4:A9">
      <formula1>"DONANTE, BENEFICIARIO"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</vt:lpstr>
      <vt:lpstr>Entradas</vt:lpstr>
      <vt:lpstr>Salidas</vt:lpstr>
      <vt:lpstr>Terceros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MARIO GAITAN FRANCO</cp:lastModifiedBy>
  <dcterms:created xsi:type="dcterms:W3CDTF">2026-09-02T15:25:44Z</dcterms:created>
  <dcterms:modified xsi:type="dcterms:W3CDTF">2026-09-02T21:15:19Z</dcterms:modified>
</cp:coreProperties>
</file>